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ptx4869\Desktop\GWSK-CP-ABE\开销记录\"/>
    </mc:Choice>
  </mc:AlternateContent>
  <xr:revisionPtr revIDLastSave="0" documentId="13_ncr:1_{D02CA1AC-CB47-43F2-AF23-EE6434AAFCBE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</calcChain>
</file>

<file path=xl/sharedStrings.xml><?xml version="1.0" encoding="utf-8"?>
<sst xmlns="http://schemas.openxmlformats.org/spreadsheetml/2006/main" count="78" uniqueCount="46">
  <si>
    <t>备注</t>
    <phoneticPr fontId="1" type="noConversion"/>
  </si>
  <si>
    <t>Policy size</t>
    <phoneticPr fontId="1" type="noConversion"/>
  </si>
  <si>
    <r>
      <t>PDec</t>
    </r>
    <r>
      <rPr>
        <b/>
        <sz val="16"/>
        <color rgb="FF333333"/>
        <rFont val="等线"/>
        <family val="3"/>
        <charset val="134"/>
      </rPr>
      <t>（</t>
    </r>
    <r>
      <rPr>
        <b/>
        <sz val="16"/>
        <color rgb="FF333333"/>
        <rFont val="Times New Roman"/>
        <family val="1"/>
      </rPr>
      <t>ms</t>
    </r>
    <r>
      <rPr>
        <b/>
        <sz val="16"/>
        <color rgb="FF333333"/>
        <rFont val="等线"/>
        <family val="3"/>
        <charset val="134"/>
      </rPr>
      <t>）</t>
    </r>
    <phoneticPr fontId="1" type="noConversion"/>
  </si>
  <si>
    <r>
      <t>TDec</t>
    </r>
    <r>
      <rPr>
        <b/>
        <sz val="16"/>
        <color rgb="FF333333"/>
        <rFont val="等线"/>
        <family val="3"/>
        <charset val="134"/>
      </rPr>
      <t>（</t>
    </r>
    <r>
      <rPr>
        <b/>
        <sz val="16"/>
        <color rgb="FF333333"/>
        <rFont val="Times New Roman"/>
        <family val="1"/>
      </rPr>
      <t>ms</t>
    </r>
    <r>
      <rPr>
        <b/>
        <sz val="16"/>
        <color rgb="FF333333"/>
        <rFont val="等线"/>
        <family val="3"/>
        <charset val="134"/>
      </rPr>
      <t>）</t>
    </r>
    <phoneticPr fontId="1" type="noConversion"/>
  </si>
  <si>
    <t>rbits=160
qbits=512</t>
    <phoneticPr fontId="1" type="noConversion"/>
  </si>
  <si>
    <t>Computation Costs of CP-ABE</t>
    <phoneticPr fontId="1" type="noConversion"/>
  </si>
  <si>
    <t>Computation Costs of Merkle Hash Tree</t>
    <phoneticPr fontId="1" type="noConversion"/>
  </si>
  <si>
    <r>
      <t>Setup</t>
    </r>
    <r>
      <rPr>
        <sz val="16"/>
        <color theme="1"/>
        <rFont val="等线"/>
        <family val="1"/>
        <charset val="134"/>
      </rPr>
      <t>（</t>
    </r>
    <r>
      <rPr>
        <sz val="16"/>
        <color theme="1"/>
        <rFont val="Times New Roman"/>
        <family val="1"/>
      </rPr>
      <t>ms</t>
    </r>
    <r>
      <rPr>
        <sz val="16"/>
        <color theme="1"/>
        <rFont val="等线"/>
        <family val="1"/>
        <charset val="134"/>
      </rPr>
      <t>）</t>
    </r>
    <phoneticPr fontId="1" type="noConversion"/>
  </si>
  <si>
    <r>
      <t>KeyGen</t>
    </r>
    <r>
      <rPr>
        <sz val="16"/>
        <color theme="1"/>
        <rFont val="等线"/>
        <family val="1"/>
        <charset val="134"/>
      </rPr>
      <t>（</t>
    </r>
    <r>
      <rPr>
        <sz val="16"/>
        <color theme="1"/>
        <rFont val="Times New Roman"/>
        <family val="1"/>
      </rPr>
      <t>ms</t>
    </r>
    <r>
      <rPr>
        <sz val="16"/>
        <color theme="1"/>
        <rFont val="等线"/>
        <family val="1"/>
        <charset val="134"/>
      </rPr>
      <t>）</t>
    </r>
    <phoneticPr fontId="1" type="noConversion"/>
  </si>
  <si>
    <r>
      <t>Enc</t>
    </r>
    <r>
      <rPr>
        <sz val="16"/>
        <color theme="1"/>
        <rFont val="等线"/>
        <family val="1"/>
        <charset val="134"/>
      </rPr>
      <t>（</t>
    </r>
    <r>
      <rPr>
        <sz val="16"/>
        <color theme="1"/>
        <rFont val="Times New Roman"/>
        <family val="1"/>
      </rPr>
      <t>ms</t>
    </r>
    <r>
      <rPr>
        <sz val="16"/>
        <color theme="1"/>
        <rFont val="等线"/>
        <family val="1"/>
        <charset val="134"/>
      </rPr>
      <t>）</t>
    </r>
    <phoneticPr fontId="1" type="noConversion"/>
  </si>
  <si>
    <r>
      <rPr>
        <b/>
        <sz val="16"/>
        <color rgb="FF333333"/>
        <rFont val="宋体"/>
        <family val="1"/>
        <charset val="134"/>
      </rPr>
      <t>密钥数量</t>
    </r>
    <phoneticPr fontId="1" type="noConversion"/>
  </si>
  <si>
    <r>
      <t>2^8</t>
    </r>
    <r>
      <rPr>
        <sz val="14"/>
        <color rgb="FF333333"/>
        <rFont val="宋体"/>
        <family val="1"/>
        <charset val="134"/>
      </rPr>
      <t>（</t>
    </r>
    <r>
      <rPr>
        <sz val="14"/>
        <color rgb="FF333333"/>
        <rFont val="Times New Roman"/>
        <family val="1"/>
      </rPr>
      <t>256</t>
    </r>
    <r>
      <rPr>
        <sz val="14"/>
        <color rgb="FF333333"/>
        <rFont val="宋体"/>
        <family val="1"/>
        <charset val="134"/>
      </rPr>
      <t>）</t>
    </r>
    <phoneticPr fontId="1" type="noConversion"/>
  </si>
  <si>
    <r>
      <t>2^9</t>
    </r>
    <r>
      <rPr>
        <sz val="14"/>
        <color rgb="FF333333"/>
        <rFont val="宋体"/>
        <family val="1"/>
        <charset val="134"/>
      </rPr>
      <t>（</t>
    </r>
    <r>
      <rPr>
        <sz val="14"/>
        <color rgb="FF333333"/>
        <rFont val="Times New Roman"/>
        <family val="1"/>
      </rPr>
      <t>512</t>
    </r>
    <r>
      <rPr>
        <sz val="14"/>
        <color rgb="FF333333"/>
        <rFont val="宋体"/>
        <family val="1"/>
        <charset val="134"/>
      </rPr>
      <t>）</t>
    </r>
    <phoneticPr fontId="1" type="noConversion"/>
  </si>
  <si>
    <r>
      <t>2^10</t>
    </r>
    <r>
      <rPr>
        <sz val="14"/>
        <color rgb="FF333333"/>
        <rFont val="宋体"/>
        <family val="1"/>
        <charset val="134"/>
      </rPr>
      <t>（</t>
    </r>
    <r>
      <rPr>
        <sz val="14"/>
        <color rgb="FF333333"/>
        <rFont val="Times New Roman"/>
        <family val="1"/>
      </rPr>
      <t>1024</t>
    </r>
    <r>
      <rPr>
        <sz val="14"/>
        <color rgb="FF333333"/>
        <rFont val="宋体"/>
        <family val="1"/>
        <charset val="134"/>
      </rPr>
      <t>）</t>
    </r>
    <phoneticPr fontId="1" type="noConversion"/>
  </si>
  <si>
    <r>
      <t>2^11</t>
    </r>
    <r>
      <rPr>
        <sz val="14"/>
        <color rgb="FF333333"/>
        <rFont val="宋体"/>
        <family val="1"/>
        <charset val="134"/>
      </rPr>
      <t>（</t>
    </r>
    <r>
      <rPr>
        <sz val="14"/>
        <color rgb="FF333333"/>
        <rFont val="Times New Roman"/>
        <family val="1"/>
      </rPr>
      <t>2048</t>
    </r>
    <r>
      <rPr>
        <sz val="14"/>
        <color rgb="FF333333"/>
        <rFont val="宋体"/>
        <family val="1"/>
        <charset val="134"/>
      </rPr>
      <t>）</t>
    </r>
    <phoneticPr fontId="1" type="noConversion"/>
  </si>
  <si>
    <r>
      <t>2^12</t>
    </r>
    <r>
      <rPr>
        <sz val="14"/>
        <color rgb="FF333333"/>
        <rFont val="宋体"/>
        <family val="1"/>
        <charset val="134"/>
      </rPr>
      <t>（</t>
    </r>
    <r>
      <rPr>
        <sz val="14"/>
        <color rgb="FF333333"/>
        <rFont val="Times New Roman"/>
        <family val="1"/>
      </rPr>
      <t>4096</t>
    </r>
    <r>
      <rPr>
        <sz val="14"/>
        <color rgb="FF333333"/>
        <rFont val="宋体"/>
        <family val="1"/>
        <charset val="134"/>
      </rPr>
      <t>）</t>
    </r>
    <phoneticPr fontId="1" type="noConversion"/>
  </si>
  <si>
    <r>
      <t>Gen</t>
    </r>
    <r>
      <rPr>
        <b/>
        <sz val="16"/>
        <color rgb="FF333333"/>
        <rFont val="微软雅黑"/>
        <family val="1"/>
        <charset val="134"/>
      </rPr>
      <t>（</t>
    </r>
    <r>
      <rPr>
        <b/>
        <sz val="16"/>
        <color rgb="FF333333"/>
        <rFont val="Times New Roman"/>
        <family val="1"/>
      </rPr>
      <t>s</t>
    </r>
    <r>
      <rPr>
        <b/>
        <sz val="16"/>
        <color rgb="FF333333"/>
        <rFont val="微软雅黑"/>
        <family val="1"/>
        <charset val="134"/>
      </rPr>
      <t>）</t>
    </r>
    <phoneticPr fontId="1" type="noConversion"/>
  </si>
  <si>
    <r>
      <t>Sig</t>
    </r>
    <r>
      <rPr>
        <b/>
        <sz val="16"/>
        <color theme="1"/>
        <rFont val="微软雅黑"/>
        <family val="1"/>
        <charset val="134"/>
      </rPr>
      <t>（</t>
    </r>
    <r>
      <rPr>
        <b/>
        <sz val="16"/>
        <color theme="1"/>
        <rFont val="Times New Roman"/>
        <family val="1"/>
      </rPr>
      <t>ms</t>
    </r>
    <r>
      <rPr>
        <b/>
        <sz val="16"/>
        <color theme="1"/>
        <rFont val="微软雅黑"/>
        <family val="1"/>
        <charset val="134"/>
      </rPr>
      <t>）</t>
    </r>
    <phoneticPr fontId="1" type="noConversion"/>
  </si>
  <si>
    <r>
      <t>Ver</t>
    </r>
    <r>
      <rPr>
        <b/>
        <sz val="16"/>
        <color theme="1"/>
        <rFont val="微软雅黑"/>
        <family val="1"/>
        <charset val="134"/>
      </rPr>
      <t>（</t>
    </r>
    <r>
      <rPr>
        <b/>
        <sz val="16"/>
        <color theme="1"/>
        <rFont val="Times New Roman"/>
        <family val="1"/>
      </rPr>
      <t>ms</t>
    </r>
    <r>
      <rPr>
        <b/>
        <sz val="16"/>
        <color theme="1"/>
        <rFont val="微软雅黑"/>
        <family val="1"/>
        <charset val="134"/>
      </rPr>
      <t>）</t>
    </r>
    <phoneticPr fontId="1" type="noConversion"/>
  </si>
  <si>
    <t>利用率</t>
    <phoneticPr fontId="1" type="noConversion"/>
  </si>
  <si>
    <r>
      <t>sign_verify</t>
    </r>
    <r>
      <rPr>
        <b/>
        <sz val="16"/>
        <color rgb="FF333333"/>
        <rFont val="宋体"/>
        <family val="1"/>
        <charset val="134"/>
      </rPr>
      <t>（</t>
    </r>
    <r>
      <rPr>
        <b/>
        <sz val="16"/>
        <color rgb="FF333333"/>
        <rFont val="Times New Roman"/>
        <family val="1"/>
      </rPr>
      <t>ms</t>
    </r>
    <r>
      <rPr>
        <b/>
        <sz val="16"/>
        <color rgb="FF333333"/>
        <rFont val="宋体"/>
        <family val="1"/>
        <charset val="134"/>
      </rPr>
      <t>）</t>
    </r>
    <phoneticPr fontId="1" type="noConversion"/>
  </si>
  <si>
    <r>
      <t>merkle_verify</t>
    </r>
    <r>
      <rPr>
        <b/>
        <sz val="16"/>
        <color rgb="FF333333"/>
        <rFont val="宋体"/>
        <family val="1"/>
        <charset val="134"/>
      </rPr>
      <t>（</t>
    </r>
    <r>
      <rPr>
        <b/>
        <sz val="16"/>
        <color rgb="FF333333"/>
        <rFont val="Times New Roman"/>
        <family val="1"/>
      </rPr>
      <t>ms</t>
    </r>
    <r>
      <rPr>
        <b/>
        <sz val="16"/>
        <color rgb="FF333333"/>
        <rFont val="宋体"/>
        <family val="1"/>
        <charset val="134"/>
      </rPr>
      <t>）</t>
    </r>
    <phoneticPr fontId="1" type="noConversion"/>
  </si>
  <si>
    <r>
      <t>Ver</t>
    </r>
    <r>
      <rPr>
        <b/>
        <sz val="16"/>
        <color theme="1"/>
        <rFont val="微软雅黑"/>
        <family val="1"/>
        <charset val="134"/>
      </rPr>
      <t>（</t>
    </r>
    <r>
      <rPr>
        <b/>
        <sz val="16"/>
        <color theme="1"/>
        <rFont val="Times New Roman"/>
        <family val="1"/>
      </rPr>
      <t>ms</t>
    </r>
    <r>
      <rPr>
        <b/>
        <sz val="16"/>
        <color theme="1"/>
        <rFont val="微软雅黑"/>
        <family val="1"/>
        <charset val="134"/>
      </rPr>
      <t>）=</t>
    </r>
    <r>
      <rPr>
        <b/>
        <sz val="16"/>
        <color rgb="FF333333"/>
        <rFont val="Times New Roman"/>
        <family val="1"/>
      </rPr>
      <t>sign_verify + merkle_verify</t>
    </r>
    <phoneticPr fontId="1" type="noConversion"/>
  </si>
  <si>
    <t>IRBA</t>
    <phoneticPr fontId="1" type="noConversion"/>
  </si>
  <si>
    <t>BASA</t>
    <phoneticPr fontId="1" type="noConversion"/>
  </si>
  <si>
    <r>
      <t>Sig</t>
    </r>
    <r>
      <rPr>
        <b/>
        <sz val="16"/>
        <color theme="1"/>
        <rFont val="宋体"/>
        <family val="3"/>
        <charset val="134"/>
      </rPr>
      <t>（</t>
    </r>
    <r>
      <rPr>
        <b/>
        <sz val="16"/>
        <color theme="1"/>
        <rFont val="Times New Roman"/>
        <family val="1"/>
      </rPr>
      <t>ms</t>
    </r>
    <r>
      <rPr>
        <b/>
        <sz val="16"/>
        <color theme="1"/>
        <rFont val="宋体"/>
        <family val="3"/>
        <charset val="134"/>
      </rPr>
      <t>）</t>
    </r>
    <phoneticPr fontId="1" type="noConversion"/>
  </si>
  <si>
    <r>
      <t>Ver</t>
    </r>
    <r>
      <rPr>
        <b/>
        <sz val="16"/>
        <color theme="1"/>
        <rFont val="宋体"/>
        <family val="1"/>
        <charset val="134"/>
      </rPr>
      <t>（</t>
    </r>
    <r>
      <rPr>
        <b/>
        <sz val="16"/>
        <color theme="1"/>
        <rFont val="Times New Roman"/>
        <family val="1"/>
      </rPr>
      <t>ms</t>
    </r>
    <r>
      <rPr>
        <b/>
        <sz val="16"/>
        <color theme="1"/>
        <rFont val="宋体"/>
        <family val="1"/>
        <charset val="134"/>
      </rPr>
      <t>）</t>
    </r>
    <phoneticPr fontId="1" type="noConversion"/>
  </si>
  <si>
    <r>
      <rPr>
        <b/>
        <sz val="16"/>
        <color rgb="FF333333"/>
        <rFont val="宋体"/>
        <family val="3"/>
        <charset val="134"/>
      </rPr>
      <t>签名耗时</t>
    </r>
    <r>
      <rPr>
        <b/>
        <sz val="16"/>
        <color rgb="FF333333"/>
        <rFont val="宋体"/>
        <family val="1"/>
        <charset val="134"/>
      </rPr>
      <t>（</t>
    </r>
    <r>
      <rPr>
        <b/>
        <sz val="16"/>
        <color rgb="FF333333"/>
        <rFont val="Times New Roman"/>
        <family val="1"/>
      </rPr>
      <t>ms</t>
    </r>
    <r>
      <rPr>
        <b/>
        <sz val="16"/>
        <color rgb="FF333333"/>
        <rFont val="宋体"/>
        <family val="1"/>
        <charset val="134"/>
      </rPr>
      <t>）</t>
    </r>
    <phoneticPr fontId="1" type="noConversion"/>
  </si>
  <si>
    <r>
      <rPr>
        <b/>
        <sz val="16"/>
        <color rgb="FF333333"/>
        <rFont val="宋体"/>
        <family val="3"/>
        <charset val="134"/>
      </rPr>
      <t>验证耗时</t>
    </r>
    <r>
      <rPr>
        <b/>
        <sz val="16"/>
        <color rgb="FF333333"/>
        <rFont val="宋体"/>
        <family val="1"/>
        <charset val="134"/>
      </rPr>
      <t>（</t>
    </r>
    <r>
      <rPr>
        <b/>
        <sz val="16"/>
        <color rgb="FF333333"/>
        <rFont val="Times New Roman"/>
        <family val="1"/>
      </rPr>
      <t>ms</t>
    </r>
    <r>
      <rPr>
        <b/>
        <sz val="16"/>
        <color rgb="FF333333"/>
        <rFont val="宋体"/>
        <family val="1"/>
        <charset val="134"/>
      </rPr>
      <t>）</t>
    </r>
    <phoneticPr fontId="1" type="noConversion"/>
  </si>
  <si>
    <r>
      <rPr>
        <b/>
        <sz val="16"/>
        <color rgb="FF333333"/>
        <rFont val="宋体"/>
        <family val="3"/>
        <charset val="134"/>
      </rPr>
      <t>系统吞吐量</t>
    </r>
    <r>
      <rPr>
        <b/>
        <sz val="16"/>
        <color rgb="FF333333"/>
        <rFont val="宋体"/>
        <family val="1"/>
        <charset val="134"/>
      </rPr>
      <t>（</t>
    </r>
    <r>
      <rPr>
        <b/>
        <sz val="16"/>
        <color rgb="FF333333"/>
        <rFont val="Times New Roman"/>
        <family val="1"/>
      </rPr>
      <t>ops/sec</t>
    </r>
    <r>
      <rPr>
        <b/>
        <sz val="16"/>
        <color rgb="FF333333"/>
        <rFont val="宋体"/>
        <family val="1"/>
        <charset val="134"/>
      </rPr>
      <t>）</t>
    </r>
    <phoneticPr fontId="1" type="noConversion"/>
  </si>
  <si>
    <r>
      <rPr>
        <sz val="16"/>
        <color theme="1"/>
        <rFont val="宋体"/>
        <family val="3"/>
        <charset val="134"/>
      </rPr>
      <t>计算能力和带宽有限</t>
    </r>
    <r>
      <rPr>
        <sz val="16"/>
        <color theme="1"/>
        <rFont val="宋体"/>
        <family val="1"/>
        <charset val="134"/>
      </rPr>
      <t>（</t>
    </r>
    <r>
      <rPr>
        <sz val="16"/>
        <color theme="1"/>
        <rFont val="Times New Roman"/>
        <family val="1"/>
      </rPr>
      <t>Merkle Hash Tree</t>
    </r>
    <r>
      <rPr>
        <sz val="16"/>
        <color theme="1"/>
        <rFont val="宋体"/>
        <family val="1"/>
        <charset val="134"/>
      </rPr>
      <t>）</t>
    </r>
    <phoneticPr fontId="1" type="noConversion"/>
  </si>
  <si>
    <r>
      <rPr>
        <b/>
        <sz val="16"/>
        <color rgb="FF333333"/>
        <rFont val="宋体"/>
        <family val="1"/>
        <charset val="134"/>
      </rPr>
      <t>线程数</t>
    </r>
    <phoneticPr fontId="1" type="noConversion"/>
  </si>
  <si>
    <r>
      <rPr>
        <b/>
        <sz val="16"/>
        <color rgb="FF333333"/>
        <rFont val="宋体"/>
        <family val="3"/>
        <charset val="134"/>
      </rPr>
      <t>总耗时（</t>
    </r>
    <r>
      <rPr>
        <b/>
        <sz val="16"/>
        <color rgb="FF333333"/>
        <rFont val="Times New Roman"/>
        <family val="1"/>
      </rPr>
      <t>ms</t>
    </r>
    <r>
      <rPr>
        <b/>
        <sz val="16"/>
        <color rgb="FF333333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</si>
  <si>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1"/>
        <charset val="134"/>
      </rPr>
      <t>最大内核</t>
    </r>
    <r>
      <rPr>
        <sz val="11"/>
        <color theme="1"/>
        <rFont val="Times New Roman"/>
        <family val="1"/>
      </rPr>
      <t>24
1000</t>
    </r>
    <r>
      <rPr>
        <sz val="11"/>
        <color theme="1"/>
        <rFont val="宋体"/>
        <family val="1"/>
        <charset val="134"/>
      </rPr>
      <t xml:space="preserve">次任务
</t>
    </r>
    <r>
      <rPr>
        <sz val="11"/>
        <color theme="1"/>
        <rFont val="Times New Roman"/>
        <family val="1"/>
      </rPr>
      <t>rbits=160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>qbits=512</t>
    </r>
    <phoneticPr fontId="1" type="noConversion"/>
  </si>
  <si>
    <r>
      <t>rbits=160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qbits=512</t>
    </r>
    <phoneticPr fontId="1" type="noConversion"/>
  </si>
  <si>
    <r>
      <rPr>
        <sz val="11"/>
        <color theme="1"/>
        <rFont val="宋体"/>
        <family val="1"/>
        <charset val="134"/>
      </rPr>
      <t>最大内核</t>
    </r>
    <r>
      <rPr>
        <sz val="11"/>
        <color theme="1"/>
        <rFont val="Times New Roman"/>
        <family val="1"/>
      </rPr>
      <t>24
1000</t>
    </r>
    <r>
      <rPr>
        <sz val="11"/>
        <color theme="1"/>
        <rFont val="宋体"/>
        <family val="1"/>
        <charset val="134"/>
      </rPr>
      <t xml:space="preserve">次任务
</t>
    </r>
    <r>
      <rPr>
        <sz val="11"/>
        <color theme="1"/>
        <rFont val="Times New Roman"/>
        <family val="1"/>
      </rPr>
      <t>rbits = 160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 xml:space="preserve">qbits = 512
</t>
    </r>
    <r>
      <rPr>
        <sz val="11"/>
        <color theme="1"/>
        <rFont val="宋体"/>
        <family val="1"/>
        <charset val="134"/>
      </rPr>
      <t xml:space="preserve">参与方数量 </t>
    </r>
    <r>
      <rPr>
        <sz val="11"/>
        <color theme="1"/>
        <rFont val="Times New Roman"/>
        <family val="1"/>
      </rPr>
      <t xml:space="preserve">n = 5
</t>
    </r>
    <r>
      <rPr>
        <sz val="11"/>
        <color theme="1"/>
        <rFont val="宋体"/>
        <family val="1"/>
        <charset val="134"/>
      </rPr>
      <t xml:space="preserve">门限 </t>
    </r>
    <r>
      <rPr>
        <sz val="11"/>
        <color theme="1"/>
        <rFont val="Times New Roman"/>
        <family val="1"/>
      </rPr>
      <t>t = 4</t>
    </r>
    <phoneticPr fontId="1" type="noConversion"/>
  </si>
  <si>
    <t>Ours</t>
    <phoneticPr fontId="1" type="noConversion"/>
  </si>
  <si>
    <r>
      <rPr>
        <sz val="11"/>
        <color theme="1"/>
        <rFont val="宋体"/>
        <family val="1"/>
        <charset val="134"/>
      </rPr>
      <t>一个图</t>
    </r>
    <phoneticPr fontId="1" type="noConversion"/>
  </si>
  <si>
    <r>
      <t>RSA</t>
    </r>
    <r>
      <rPr>
        <sz val="12"/>
        <color theme="1"/>
        <rFont val="宋体"/>
        <family val="1"/>
        <charset val="134"/>
      </rPr>
      <t xml:space="preserve">密钥对
只运行了一次
</t>
    </r>
    <r>
      <rPr>
        <sz val="12"/>
        <color theme="1"/>
        <rFont val="Times New Roman"/>
        <family val="1"/>
      </rPr>
      <t xml:space="preserve">python </t>
    </r>
    <r>
      <rPr>
        <sz val="12"/>
        <color theme="1"/>
        <rFont val="宋体"/>
        <family val="1"/>
        <charset val="134"/>
      </rPr>
      <t>版本</t>
    </r>
    <r>
      <rPr>
        <sz val="12"/>
        <color theme="1"/>
        <rFont val="Times New Roman"/>
        <family val="1"/>
      </rPr>
      <t xml:space="preserve">
</t>
    </r>
    <phoneticPr fontId="1" type="noConversion"/>
  </si>
  <si>
    <r>
      <rPr>
        <sz val="11"/>
        <color theme="1"/>
        <rFont val="宋体"/>
        <family val="1"/>
        <charset val="134"/>
      </rPr>
      <t>这里用折线</t>
    </r>
    <phoneticPr fontId="1" type="noConversion"/>
  </si>
  <si>
    <r>
      <rPr>
        <sz val="11"/>
        <color theme="1"/>
        <rFont val="宋体"/>
        <family val="1"/>
        <charset val="134"/>
      </rPr>
      <t>这里用柱形</t>
    </r>
    <phoneticPr fontId="1" type="noConversion"/>
  </si>
  <si>
    <r>
      <rPr>
        <sz val="11"/>
        <color theme="1"/>
        <rFont val="宋体"/>
        <family val="3"/>
        <charset val="134"/>
      </rPr>
      <t>这里用柱形</t>
    </r>
    <phoneticPr fontId="1" type="noConversion"/>
  </si>
  <si>
    <r>
      <rPr>
        <sz val="11"/>
        <color theme="1"/>
        <rFont val="宋体"/>
        <family val="1"/>
        <charset val="134"/>
      </rPr>
      <t>三者同一个图</t>
    </r>
    <phoneticPr fontId="1" type="noConversion"/>
  </si>
  <si>
    <r>
      <rPr>
        <sz val="12"/>
        <color theme="1"/>
        <rFont val="宋体"/>
        <family val="3"/>
        <charset val="134"/>
      </rPr>
      <t>签名生成、签名验证
循环</t>
    </r>
    <r>
      <rPr>
        <sz val="12"/>
        <color theme="1"/>
        <rFont val="Times New Roman"/>
        <family val="1"/>
      </rPr>
      <t>1000</t>
    </r>
    <r>
      <rPr>
        <sz val="12"/>
        <color theme="1"/>
        <rFont val="宋体"/>
        <family val="3"/>
        <charset val="134"/>
      </rPr>
      <t>次</t>
    </r>
    <r>
      <rPr>
        <sz val="12"/>
        <color theme="1"/>
        <rFont val="Times New Roman"/>
        <family val="1"/>
      </rPr>
      <t xml:space="preserve">
python </t>
    </r>
    <r>
      <rPr>
        <sz val="12"/>
        <color theme="1"/>
        <rFont val="宋体"/>
        <family val="3"/>
        <charset val="134"/>
      </rPr>
      <t>版本</t>
    </r>
    <phoneticPr fontId="1" type="noConversion"/>
  </si>
  <si>
    <r>
      <rPr>
        <sz val="11"/>
        <color theme="1"/>
        <rFont val="宋体"/>
        <family val="1"/>
        <charset val="134"/>
      </rPr>
      <t>最大内核</t>
    </r>
    <r>
      <rPr>
        <sz val="11"/>
        <color theme="1"/>
        <rFont val="Times New Roman"/>
        <family val="1"/>
      </rPr>
      <t>24
1000</t>
    </r>
    <r>
      <rPr>
        <sz val="11"/>
        <color theme="1"/>
        <rFont val="宋体"/>
        <family val="1"/>
        <charset val="134"/>
      </rPr>
      <t>次任务</t>
    </r>
    <r>
      <rPr>
        <sz val="11"/>
        <color theme="1"/>
        <rFont val="Times New Roman"/>
        <family val="1"/>
        <charset val="134"/>
      </rPr>
      <t xml:space="preserve">
112</t>
    </r>
    <r>
      <rPr>
        <sz val="11"/>
        <color theme="1"/>
        <rFont val="宋体"/>
        <family val="1"/>
        <charset val="134"/>
      </rPr>
      <t>比特安全</t>
    </r>
    <phoneticPr fontId="1" type="noConversion"/>
  </si>
  <si>
    <r>
      <t>112</t>
    </r>
    <r>
      <rPr>
        <sz val="11"/>
        <color theme="1"/>
        <rFont val="宋体"/>
        <family val="1"/>
        <charset val="134"/>
      </rPr>
      <t>比特安全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</si>
</sst>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2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6"/>
      <color rgb="FF333333"/>
      <name val="Times New Roman"/>
      <family val="1"/>
    </font>
    <font>
      <b/>
      <sz val="16"/>
      <color rgb="FF333333"/>
      <name val="等线"/>
      <family val="3"/>
      <charset val="134"/>
    </font>
    <font>
      <sz val="14"/>
      <color rgb="FF333333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333333"/>
      <name val="宋体"/>
      <family val="1"/>
      <charset val="134"/>
    </font>
    <font>
      <sz val="12"/>
      <color theme="1"/>
      <name val="宋体"/>
      <family val="1"/>
      <charset val="134"/>
    </font>
    <font>
      <sz val="14"/>
      <color rgb="FF333333"/>
      <name val="宋体"/>
      <family val="1"/>
      <charset val="134"/>
    </font>
    <font>
      <sz val="16"/>
      <color theme="1"/>
      <name val="等线"/>
      <family val="1"/>
      <charset val="134"/>
    </font>
    <font>
      <b/>
      <sz val="16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6"/>
      <color rgb="FF333333"/>
      <name val="微软雅黑"/>
      <family val="1"/>
      <charset val="134"/>
    </font>
    <font>
      <b/>
      <sz val="16"/>
      <color theme="1"/>
      <name val="微软雅黑"/>
      <family val="1"/>
      <charset val="134"/>
    </font>
    <font>
      <sz val="12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6"/>
      <color theme="1"/>
      <name val="宋体"/>
      <family val="1"/>
      <charset val="134"/>
    </font>
    <font>
      <sz val="16"/>
      <color theme="1"/>
      <name val="宋体"/>
      <family val="3"/>
      <charset val="134"/>
    </font>
    <font>
      <sz val="16"/>
      <color theme="1"/>
      <name val="宋体"/>
      <family val="1"/>
      <charset val="134"/>
    </font>
    <font>
      <b/>
      <sz val="16"/>
      <color rgb="FF333333"/>
      <name val="宋体"/>
      <family val="3"/>
      <charset val="134"/>
    </font>
    <font>
      <sz val="16"/>
      <color theme="1"/>
      <name val="Times New Roman"/>
      <family val="3"/>
      <charset val="134"/>
    </font>
    <font>
      <sz val="11"/>
      <color theme="1"/>
      <name val="等线"/>
      <family val="2"/>
    </font>
    <font>
      <sz val="11"/>
      <color theme="1"/>
      <name val="Times New Roman"/>
      <family val="1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FE2E5"/>
      </bottom>
      <diagonal/>
    </border>
    <border>
      <left style="medium">
        <color rgb="FFDFE2E5"/>
      </left>
      <right/>
      <top style="medium">
        <color rgb="FFDFE2E5"/>
      </top>
      <bottom style="medium">
        <color rgb="FFDFE2E5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76" fontId="6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6" fillId="4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76" fontId="6" fillId="5" borderId="2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76" fontId="6" fillId="6" borderId="2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7" zoomScaleNormal="100" workbookViewId="0">
      <selection activeCell="G17" sqref="G17"/>
    </sheetView>
  </sheetViews>
  <sheetFormatPr defaultColWidth="8.875" defaultRowHeight="15" x14ac:dyDescent="0.2"/>
  <cols>
    <col min="1" max="1" width="21.875" style="5" bestFit="1" customWidth="1"/>
    <col min="2" max="10" width="20.625" style="5" customWidth="1"/>
    <col min="11" max="17" width="24.75" style="5" customWidth="1"/>
    <col min="18" max="16384" width="8.875" style="5"/>
  </cols>
  <sheetData>
    <row r="1" spans="1:7" s="5" customFormat="1" ht="60" customHeight="1" thickBot="1" x14ac:dyDescent="0.25">
      <c r="A1" s="12" t="s">
        <v>5</v>
      </c>
      <c r="B1" s="12"/>
      <c r="C1" s="12"/>
      <c r="D1" s="12"/>
      <c r="E1" s="12"/>
      <c r="F1" s="12"/>
    </row>
    <row r="2" spans="1:7" s="5" customFormat="1" ht="39.950000000000003" customHeight="1" thickBot="1" x14ac:dyDescent="0.25">
      <c r="A2" s="1" t="s">
        <v>1</v>
      </c>
      <c r="B2" s="1" t="s">
        <v>7</v>
      </c>
      <c r="C2" s="1" t="s">
        <v>8</v>
      </c>
      <c r="D2" s="1" t="s">
        <v>9</v>
      </c>
      <c r="E2" s="1" t="s">
        <v>2</v>
      </c>
      <c r="F2" s="1" t="s">
        <v>3</v>
      </c>
      <c r="G2" s="1" t="s">
        <v>0</v>
      </c>
    </row>
    <row r="3" spans="1:7" s="5" customFormat="1" ht="19.5" customHeight="1" thickBot="1" x14ac:dyDescent="0.25">
      <c r="A3" s="2">
        <v>10</v>
      </c>
      <c r="B3" s="10">
        <v>2.5573350000000001</v>
      </c>
      <c r="C3" s="10">
        <v>42.859974999999999</v>
      </c>
      <c r="D3" s="10">
        <v>43.620930999999999</v>
      </c>
      <c r="E3" s="10">
        <v>11.885471000000001</v>
      </c>
      <c r="F3" s="10">
        <v>6.7905999999999994E-2</v>
      </c>
      <c r="G3" s="13" t="s">
        <v>4</v>
      </c>
    </row>
    <row r="4" spans="1:7" s="5" customFormat="1" ht="19.5" thickBot="1" x14ac:dyDescent="0.25">
      <c r="A4" s="3">
        <v>20</v>
      </c>
      <c r="B4" s="10">
        <v>2.6740780000000002</v>
      </c>
      <c r="C4" s="10">
        <v>76.995339999999999</v>
      </c>
      <c r="D4" s="10">
        <v>85.151117999999997</v>
      </c>
      <c r="E4" s="10">
        <v>22.811855000000001</v>
      </c>
      <c r="F4" s="10">
        <v>6.9924E-2</v>
      </c>
      <c r="G4" s="14"/>
    </row>
    <row r="5" spans="1:7" s="5" customFormat="1" ht="19.5" thickBot="1" x14ac:dyDescent="0.25">
      <c r="A5" s="2">
        <v>30</v>
      </c>
      <c r="B5" s="10">
        <v>2.8359990000000002</v>
      </c>
      <c r="C5" s="10">
        <v>106.997899</v>
      </c>
      <c r="D5" s="10">
        <v>123.02942299999999</v>
      </c>
      <c r="E5" s="10">
        <v>32.390200999999998</v>
      </c>
      <c r="F5" s="10">
        <v>6.5294000000000005E-2</v>
      </c>
      <c r="G5" s="14"/>
    </row>
    <row r="6" spans="1:7" s="5" customFormat="1" ht="19.5" thickBot="1" x14ac:dyDescent="0.25">
      <c r="A6" s="3">
        <v>40</v>
      </c>
      <c r="B6" s="10">
        <v>2.6853229999999999</v>
      </c>
      <c r="C6" s="10">
        <v>138.55750699999999</v>
      </c>
      <c r="D6" s="10">
        <v>161.911518</v>
      </c>
      <c r="E6" s="10">
        <v>45.437337999999997</v>
      </c>
      <c r="F6" s="10">
        <v>6.5157999999999994E-2</v>
      </c>
      <c r="G6" s="14"/>
    </row>
    <row r="7" spans="1:7" s="5" customFormat="1" ht="19.5" thickBot="1" x14ac:dyDescent="0.25">
      <c r="A7" s="2">
        <v>50</v>
      </c>
      <c r="B7" s="10">
        <v>2.7396410000000002</v>
      </c>
      <c r="C7" s="10">
        <v>171.35196300000001</v>
      </c>
      <c r="D7" s="10">
        <v>202.050907</v>
      </c>
      <c r="E7" s="10">
        <v>53.874381999999997</v>
      </c>
      <c r="F7" s="10">
        <v>6.6238000000000005E-2</v>
      </c>
      <c r="G7" s="14"/>
    </row>
    <row r="8" spans="1:7" s="5" customFormat="1" x14ac:dyDescent="0.2">
      <c r="B8" s="22" t="s">
        <v>37</v>
      </c>
      <c r="C8" s="22"/>
      <c r="D8" s="22"/>
      <c r="E8" s="22"/>
      <c r="F8" s="22"/>
    </row>
    <row r="10" spans="1:7" s="5" customFormat="1" ht="60" customHeight="1" thickBot="1" x14ac:dyDescent="0.25">
      <c r="A10" s="12" t="s">
        <v>6</v>
      </c>
      <c r="B10" s="12"/>
      <c r="C10" s="12"/>
      <c r="D10" s="12"/>
      <c r="E10" s="12"/>
      <c r="F10" s="9"/>
      <c r="G10" s="9"/>
    </row>
    <row r="11" spans="1:7" s="5" customFormat="1" ht="23.25" thickBot="1" x14ac:dyDescent="0.25">
      <c r="A11" s="1" t="s">
        <v>10</v>
      </c>
      <c r="B11" s="1" t="s">
        <v>16</v>
      </c>
      <c r="C11" s="1" t="s">
        <v>17</v>
      </c>
      <c r="D11" s="1" t="s">
        <v>18</v>
      </c>
      <c r="E11" s="1" t="s">
        <v>0</v>
      </c>
    </row>
    <row r="12" spans="1:7" s="5" customFormat="1" ht="20.25" customHeight="1" thickBot="1" x14ac:dyDescent="0.25">
      <c r="A12" s="2" t="s">
        <v>11</v>
      </c>
      <c r="B12" s="4">
        <v>66.0244</v>
      </c>
      <c r="C12" s="6">
        <v>2.7</v>
      </c>
      <c r="D12" s="6">
        <v>0.9</v>
      </c>
      <c r="E12" s="15" t="s">
        <v>38</v>
      </c>
    </row>
    <row r="13" spans="1:7" s="5" customFormat="1" ht="20.25" thickBot="1" x14ac:dyDescent="0.25">
      <c r="A13" s="3" t="s">
        <v>12</v>
      </c>
      <c r="B13" s="4">
        <v>131.98480000000001</v>
      </c>
      <c r="C13" s="6">
        <v>2.8</v>
      </c>
      <c r="D13" s="6">
        <v>0.9</v>
      </c>
      <c r="E13" s="15"/>
    </row>
    <row r="14" spans="1:7" s="5" customFormat="1" ht="20.25" thickBot="1" x14ac:dyDescent="0.25">
      <c r="A14" s="2" t="s">
        <v>13</v>
      </c>
      <c r="B14" s="4">
        <v>277.15370000000001</v>
      </c>
      <c r="C14" s="6">
        <v>2.9</v>
      </c>
      <c r="D14" s="6">
        <v>0.9</v>
      </c>
      <c r="E14" s="15"/>
    </row>
    <row r="15" spans="1:7" s="5" customFormat="1" ht="20.25" thickBot="1" x14ac:dyDescent="0.25">
      <c r="A15" s="3" t="s">
        <v>14</v>
      </c>
      <c r="B15" s="4">
        <v>525.71910000000003</v>
      </c>
      <c r="C15" s="6">
        <v>2.9</v>
      </c>
      <c r="D15" s="6">
        <v>0.9</v>
      </c>
      <c r="E15" s="15"/>
    </row>
    <row r="16" spans="1:7" s="5" customFormat="1" ht="20.25" thickBot="1" x14ac:dyDescent="0.25">
      <c r="A16" s="2" t="s">
        <v>15</v>
      </c>
      <c r="B16" s="4">
        <v>1055.6633999999999</v>
      </c>
      <c r="C16" s="6">
        <v>2.9</v>
      </c>
      <c r="D16" s="6">
        <v>0.9</v>
      </c>
      <c r="E16" s="15"/>
    </row>
    <row r="17" spans="1:5" s="5" customFormat="1" x14ac:dyDescent="0.2">
      <c r="B17" s="5" t="s">
        <v>39</v>
      </c>
      <c r="C17" s="5" t="s">
        <v>40</v>
      </c>
      <c r="D17" s="5" t="s">
        <v>41</v>
      </c>
    </row>
    <row r="18" spans="1:5" s="5" customFormat="1" x14ac:dyDescent="0.2">
      <c r="B18" s="16" t="s">
        <v>42</v>
      </c>
      <c r="C18" s="16"/>
      <c r="D18" s="16"/>
    </row>
    <row r="19" spans="1:5" s="5" customFormat="1" ht="15.75" thickBot="1" x14ac:dyDescent="0.25"/>
    <row r="20" spans="1:5" s="5" customFormat="1" ht="20.25" customHeight="1" thickBot="1" x14ac:dyDescent="0.25">
      <c r="A20" s="2" t="s">
        <v>11</v>
      </c>
      <c r="B20" s="4">
        <v>66.740399999999994</v>
      </c>
      <c r="C20" s="4">
        <v>1.3420000000000001</v>
      </c>
      <c r="D20" s="4">
        <v>0.59289999999999998</v>
      </c>
      <c r="E20" s="15" t="s">
        <v>43</v>
      </c>
    </row>
    <row r="21" spans="1:5" s="5" customFormat="1" ht="20.25" thickBot="1" x14ac:dyDescent="0.25">
      <c r="A21" s="3" t="s">
        <v>12</v>
      </c>
      <c r="B21" s="4">
        <v>133.6474</v>
      </c>
      <c r="C21" s="4">
        <v>1.2630999999999999</v>
      </c>
      <c r="D21" s="4">
        <v>0.56310000000000004</v>
      </c>
      <c r="E21" s="15"/>
    </row>
    <row r="22" spans="1:5" s="5" customFormat="1" ht="20.25" thickBot="1" x14ac:dyDescent="0.25">
      <c r="A22" s="2" t="s">
        <v>13</v>
      </c>
      <c r="B22" s="4">
        <v>265.58280000000002</v>
      </c>
      <c r="C22" s="4">
        <v>1.3405</v>
      </c>
      <c r="D22" s="4">
        <v>0.59030000000000005</v>
      </c>
      <c r="E22" s="15"/>
    </row>
    <row r="23" spans="1:5" s="5" customFormat="1" ht="20.25" thickBot="1" x14ac:dyDescent="0.25">
      <c r="A23" s="3" t="s">
        <v>14</v>
      </c>
      <c r="B23" s="4">
        <v>532.73979999999995</v>
      </c>
      <c r="C23" s="4">
        <v>1.2676000000000001</v>
      </c>
      <c r="D23" s="4">
        <v>0.56110000000000004</v>
      </c>
      <c r="E23" s="15"/>
    </row>
    <row r="24" spans="1:5" s="5" customFormat="1" ht="20.25" thickBot="1" x14ac:dyDescent="0.25">
      <c r="A24" s="2" t="s">
        <v>15</v>
      </c>
      <c r="B24" s="4">
        <v>1063.7551000000001</v>
      </c>
      <c r="C24" s="4">
        <v>1.3016000000000001</v>
      </c>
      <c r="D24" s="4">
        <v>0.59379999999999999</v>
      </c>
      <c r="E24" s="15"/>
    </row>
    <row r="27" spans="1:5" s="5" customFormat="1" ht="60" customHeight="1" x14ac:dyDescent="0.2"/>
    <row r="36" s="5" customFormat="1" ht="60" customHeight="1" x14ac:dyDescent="0.2"/>
  </sheetData>
  <mergeCells count="7">
    <mergeCell ref="B18:D18"/>
    <mergeCell ref="E12:E16"/>
    <mergeCell ref="A1:F1"/>
    <mergeCell ref="E20:E24"/>
    <mergeCell ref="A10:E10"/>
    <mergeCell ref="G3:G7"/>
    <mergeCell ref="B8:F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7A52-BCF1-4EE9-BA1F-11F92B4F0056}">
  <dimension ref="A1:L35"/>
  <sheetViews>
    <sheetView tabSelected="1" topLeftCell="A4" workbookViewId="0">
      <selection activeCell="I24" sqref="I24"/>
    </sheetView>
  </sheetViews>
  <sheetFormatPr defaultRowHeight="14.25" x14ac:dyDescent="0.2"/>
  <cols>
    <col min="1" max="6" width="20.625" customWidth="1"/>
    <col min="9" max="11" width="24.625" customWidth="1"/>
  </cols>
  <sheetData>
    <row r="1" spans="1:12" ht="60" customHeight="1" thickBot="1" x14ac:dyDescent="0.3">
      <c r="A1" s="12" t="s">
        <v>24</v>
      </c>
      <c r="B1" s="12"/>
      <c r="C1" s="12"/>
      <c r="D1" s="12"/>
      <c r="E1" s="12"/>
      <c r="F1" s="12"/>
      <c r="G1" s="19"/>
      <c r="H1" s="19"/>
      <c r="I1" s="12" t="s">
        <v>24</v>
      </c>
      <c r="J1" s="12"/>
      <c r="K1" s="19"/>
      <c r="L1" s="19"/>
    </row>
    <row r="2" spans="1:12" ht="42" thickBot="1" x14ac:dyDescent="0.3">
      <c r="A2" s="1" t="s">
        <v>31</v>
      </c>
      <c r="B2" s="1" t="s">
        <v>32</v>
      </c>
      <c r="C2" s="1" t="s">
        <v>27</v>
      </c>
      <c r="D2" s="1" t="s">
        <v>28</v>
      </c>
      <c r="E2" s="1" t="s">
        <v>29</v>
      </c>
      <c r="F2" s="1" t="s">
        <v>0</v>
      </c>
      <c r="G2" s="19"/>
      <c r="H2" s="19"/>
      <c r="I2" s="1" t="s">
        <v>25</v>
      </c>
      <c r="J2" s="1" t="s">
        <v>26</v>
      </c>
      <c r="K2" s="1" t="s">
        <v>0</v>
      </c>
      <c r="L2" s="19"/>
    </row>
    <row r="3" spans="1:12" ht="19.5" thickBot="1" x14ac:dyDescent="0.3">
      <c r="A3" s="2">
        <v>1</v>
      </c>
      <c r="B3" s="11">
        <v>6910.71</v>
      </c>
      <c r="C3" s="11">
        <v>3830.97</v>
      </c>
      <c r="D3" s="11">
        <v>3079.48</v>
      </c>
      <c r="E3" s="11">
        <v>0.144703</v>
      </c>
      <c r="F3" s="21" t="s">
        <v>33</v>
      </c>
      <c r="G3" s="19"/>
      <c r="H3" s="19"/>
      <c r="I3" s="4">
        <v>4.3087999999999997</v>
      </c>
      <c r="J3" s="4">
        <v>3.2119</v>
      </c>
      <c r="K3" s="20" t="s">
        <v>34</v>
      </c>
      <c r="L3" s="19"/>
    </row>
    <row r="4" spans="1:12" ht="19.5" thickBot="1" x14ac:dyDescent="0.3">
      <c r="A4" s="3">
        <v>6</v>
      </c>
      <c r="B4" s="11">
        <v>1372.81</v>
      </c>
      <c r="C4" s="11">
        <v>762.75599999999997</v>
      </c>
      <c r="D4" s="11">
        <v>612.16899999999998</v>
      </c>
      <c r="E4" s="11">
        <v>0.72843100000000005</v>
      </c>
      <c r="F4" s="17"/>
      <c r="G4" s="19"/>
      <c r="H4" s="19"/>
      <c r="I4" s="19"/>
      <c r="J4" s="19"/>
      <c r="K4" s="19"/>
      <c r="L4" s="19"/>
    </row>
    <row r="5" spans="1:12" ht="19.5" thickBot="1" x14ac:dyDescent="0.3">
      <c r="A5" s="2">
        <v>12</v>
      </c>
      <c r="B5" s="11">
        <v>1121.08</v>
      </c>
      <c r="C5" s="11">
        <v>585.30600000000004</v>
      </c>
      <c r="D5" s="11">
        <v>535.53700000000003</v>
      </c>
      <c r="E5" s="11">
        <v>0.89199600000000001</v>
      </c>
      <c r="F5" s="17"/>
      <c r="G5" s="19"/>
      <c r="H5" s="19"/>
      <c r="I5" s="19"/>
      <c r="J5" s="19"/>
      <c r="K5" s="19"/>
      <c r="L5" s="19"/>
    </row>
    <row r="6" spans="1:12" ht="19.5" thickBot="1" x14ac:dyDescent="0.3">
      <c r="A6" s="2">
        <v>24</v>
      </c>
      <c r="B6" s="11">
        <v>729.32600000000002</v>
      </c>
      <c r="C6" s="11">
        <v>387.66500000000002</v>
      </c>
      <c r="D6" s="11">
        <v>350.73</v>
      </c>
      <c r="E6" s="11">
        <v>1.37113</v>
      </c>
      <c r="F6" s="17"/>
      <c r="G6" s="19"/>
      <c r="H6" s="19"/>
      <c r="I6" s="19"/>
      <c r="J6" s="19"/>
      <c r="K6" s="19"/>
      <c r="L6" s="19"/>
    </row>
    <row r="7" spans="1:12" ht="15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5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60" customHeight="1" thickBot="1" x14ac:dyDescent="0.3">
      <c r="A9" s="12" t="s">
        <v>23</v>
      </c>
      <c r="B9" s="12"/>
      <c r="C9" s="12"/>
      <c r="D9" s="12"/>
      <c r="E9" s="12"/>
      <c r="F9" s="12"/>
      <c r="G9" s="19"/>
      <c r="H9" s="19"/>
      <c r="I9" s="12" t="s">
        <v>23</v>
      </c>
      <c r="J9" s="12"/>
      <c r="K9" s="19"/>
      <c r="L9" s="19"/>
    </row>
    <row r="10" spans="1:12" ht="42" thickBot="1" x14ac:dyDescent="0.3">
      <c r="A10" s="1" t="s">
        <v>31</v>
      </c>
      <c r="B10" s="1" t="s">
        <v>32</v>
      </c>
      <c r="C10" s="1" t="s">
        <v>27</v>
      </c>
      <c r="D10" s="1" t="s">
        <v>28</v>
      </c>
      <c r="E10" s="1" t="s">
        <v>29</v>
      </c>
      <c r="F10" s="1" t="s">
        <v>0</v>
      </c>
      <c r="G10" s="19"/>
      <c r="H10" s="19"/>
      <c r="I10" s="1" t="s">
        <v>25</v>
      </c>
      <c r="J10" s="1" t="s">
        <v>26</v>
      </c>
      <c r="K10" s="1" t="s">
        <v>0</v>
      </c>
      <c r="L10" s="19"/>
    </row>
    <row r="11" spans="1:12" ht="19.5" thickBot="1" x14ac:dyDescent="0.3">
      <c r="A11" s="2">
        <v>1</v>
      </c>
      <c r="B11" s="11">
        <v>35243.300000000003</v>
      </c>
      <c r="C11" s="11">
        <v>31467.200000000001</v>
      </c>
      <c r="D11" s="11">
        <v>3775.9</v>
      </c>
      <c r="E11" s="11">
        <v>2.8374199999999999E-2</v>
      </c>
      <c r="F11" s="21" t="s">
        <v>35</v>
      </c>
      <c r="G11" s="19"/>
      <c r="H11" s="19"/>
      <c r="I11" s="4">
        <v>36.391800000000003</v>
      </c>
      <c r="J11" s="4">
        <v>3.5087999999999999</v>
      </c>
      <c r="K11" s="20" t="s">
        <v>34</v>
      </c>
      <c r="L11" s="19"/>
    </row>
    <row r="12" spans="1:12" ht="19.5" thickBot="1" x14ac:dyDescent="0.3">
      <c r="A12" s="3">
        <v>6</v>
      </c>
      <c r="B12" s="11">
        <v>6940.81</v>
      </c>
      <c r="C12" s="11">
        <v>6200.05</v>
      </c>
      <c r="D12" s="11">
        <v>741.91600000000005</v>
      </c>
      <c r="E12" s="11">
        <v>0.14407500000000001</v>
      </c>
      <c r="F12" s="17"/>
      <c r="G12" s="19"/>
      <c r="H12" s="19"/>
      <c r="I12" s="19"/>
      <c r="J12" s="19"/>
      <c r="K12" s="19"/>
      <c r="L12" s="19"/>
    </row>
    <row r="13" spans="1:12" ht="19.5" thickBot="1" x14ac:dyDescent="0.3">
      <c r="A13" s="2">
        <v>12</v>
      </c>
      <c r="B13" s="11">
        <v>4624.46</v>
      </c>
      <c r="C13" s="11">
        <v>4126.6499999999996</v>
      </c>
      <c r="D13" s="11">
        <v>497.56099999999998</v>
      </c>
      <c r="E13" s="11">
        <v>0.21624199999999999</v>
      </c>
      <c r="F13" s="17"/>
      <c r="G13" s="19"/>
      <c r="H13" s="19"/>
      <c r="I13" s="19"/>
      <c r="J13" s="19"/>
      <c r="K13" s="19"/>
      <c r="L13" s="19"/>
    </row>
    <row r="14" spans="1:12" ht="19.5" thickBot="1" x14ac:dyDescent="0.3">
      <c r="A14" s="2">
        <v>24</v>
      </c>
      <c r="B14" s="11">
        <v>3510.28</v>
      </c>
      <c r="C14" s="11">
        <v>3087.83</v>
      </c>
      <c r="D14" s="11">
        <v>423.64100000000002</v>
      </c>
      <c r="E14" s="11">
        <v>0.28487699999999999</v>
      </c>
      <c r="F14" s="17"/>
      <c r="G14" s="19"/>
      <c r="H14" s="19"/>
      <c r="I14" s="19"/>
      <c r="J14" s="19"/>
      <c r="K14" s="19"/>
      <c r="L14" s="19"/>
    </row>
    <row r="15" spans="1:12" ht="1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ht="15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60" customHeight="1" thickBot="1" x14ac:dyDescent="0.3">
      <c r="A17" s="12" t="s">
        <v>36</v>
      </c>
      <c r="B17" s="12"/>
      <c r="C17" s="12"/>
      <c r="D17" s="12"/>
      <c r="E17" s="12"/>
      <c r="F17" s="12"/>
      <c r="G17" s="19"/>
      <c r="H17" s="19"/>
      <c r="I17" s="12" t="s">
        <v>36</v>
      </c>
      <c r="J17" s="12"/>
      <c r="K17" s="19"/>
      <c r="L17" s="19"/>
    </row>
    <row r="18" spans="1:12" ht="42" thickBot="1" x14ac:dyDescent="0.3">
      <c r="A18" s="1" t="s">
        <v>31</v>
      </c>
      <c r="B18" s="1" t="s">
        <v>32</v>
      </c>
      <c r="C18" s="1" t="s">
        <v>27</v>
      </c>
      <c r="D18" s="1" t="s">
        <v>28</v>
      </c>
      <c r="E18" s="1" t="s">
        <v>29</v>
      </c>
      <c r="F18" s="1" t="s">
        <v>0</v>
      </c>
      <c r="G18" s="19"/>
      <c r="H18" s="19"/>
      <c r="I18" s="1" t="s">
        <v>25</v>
      </c>
      <c r="J18" s="1" t="s">
        <v>26</v>
      </c>
      <c r="K18" s="1" t="s">
        <v>0</v>
      </c>
      <c r="L18" s="19"/>
    </row>
    <row r="19" spans="1:12" ht="19.5" thickBot="1" x14ac:dyDescent="0.3">
      <c r="A19" s="2">
        <v>1</v>
      </c>
      <c r="B19" s="11">
        <v>674.928</v>
      </c>
      <c r="C19" s="11">
        <v>636.6</v>
      </c>
      <c r="D19" s="11">
        <v>37.942999999999998</v>
      </c>
      <c r="E19" s="11">
        <v>1.4816400000000001</v>
      </c>
      <c r="F19" s="21" t="s">
        <v>44</v>
      </c>
      <c r="G19" s="19"/>
      <c r="H19" s="19"/>
      <c r="I19" s="4">
        <v>0.73550000000000004</v>
      </c>
      <c r="J19" s="4">
        <v>3.8300000000000001E-2</v>
      </c>
      <c r="K19" s="20" t="s">
        <v>45</v>
      </c>
      <c r="L19" s="19"/>
    </row>
    <row r="20" spans="1:12" ht="19.5" thickBot="1" x14ac:dyDescent="0.3">
      <c r="A20" s="3">
        <v>6</v>
      </c>
      <c r="B20" s="11">
        <v>146.78700000000001</v>
      </c>
      <c r="C20" s="11">
        <v>138.12899999999999</v>
      </c>
      <c r="D20" s="11">
        <v>7.9686500000000002</v>
      </c>
      <c r="E20" s="11">
        <v>6.8126100000000003</v>
      </c>
      <c r="F20" s="17"/>
      <c r="G20" s="19"/>
      <c r="H20" s="19"/>
      <c r="I20" s="19"/>
      <c r="J20" s="19"/>
      <c r="K20" s="19"/>
      <c r="L20" s="19"/>
    </row>
    <row r="21" spans="1:12" ht="19.5" thickBot="1" x14ac:dyDescent="0.3">
      <c r="A21" s="2">
        <v>12</v>
      </c>
      <c r="B21" s="11">
        <v>113.054</v>
      </c>
      <c r="C21" s="11">
        <v>106.197</v>
      </c>
      <c r="D21" s="11">
        <v>7.3671100000000003</v>
      </c>
      <c r="E21" s="11">
        <v>8.7677499999999995</v>
      </c>
      <c r="F21" s="17"/>
      <c r="G21" s="19"/>
      <c r="H21" s="19"/>
      <c r="I21" s="19"/>
      <c r="J21" s="19"/>
      <c r="K21" s="19"/>
      <c r="L21" s="19"/>
    </row>
    <row r="22" spans="1:12" ht="19.5" thickBot="1" x14ac:dyDescent="0.3">
      <c r="A22" s="2">
        <v>24</v>
      </c>
      <c r="B22" s="11">
        <v>67.190799999999996</v>
      </c>
      <c r="C22" s="11">
        <v>57.0351</v>
      </c>
      <c r="D22" s="11">
        <v>4.1134500000000003</v>
      </c>
      <c r="E22" s="11">
        <v>14.882999999999999</v>
      </c>
      <c r="F22" s="17"/>
      <c r="G22" s="19"/>
      <c r="H22" s="19"/>
      <c r="I22" s="19"/>
      <c r="J22" s="19"/>
      <c r="K22" s="19"/>
      <c r="L22" s="19"/>
    </row>
    <row r="23" spans="1:12" ht="15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1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ht="1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1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ht="1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ht="1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ht="15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ht="15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ht="15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ht="15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15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ht="15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15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</sheetData>
  <mergeCells count="9">
    <mergeCell ref="A17:F17"/>
    <mergeCell ref="F19:F22"/>
    <mergeCell ref="I17:J17"/>
    <mergeCell ref="A1:F1"/>
    <mergeCell ref="F3:F6"/>
    <mergeCell ref="A9:F9"/>
    <mergeCell ref="F11:F14"/>
    <mergeCell ref="I1:J1"/>
    <mergeCell ref="I9:J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9F2A-CB60-40DB-A400-8EFEB623165E}">
  <dimension ref="A1:F6"/>
  <sheetViews>
    <sheetView workbookViewId="0">
      <selection activeCell="D12" sqref="D12"/>
    </sheetView>
  </sheetViews>
  <sheetFormatPr defaultRowHeight="14.25" x14ac:dyDescent="0.2"/>
  <cols>
    <col min="1" max="6" width="24.625" customWidth="1"/>
  </cols>
  <sheetData>
    <row r="1" spans="1:6" ht="60" customHeight="1" thickBot="1" x14ac:dyDescent="0.25">
      <c r="A1" s="18" t="s">
        <v>30</v>
      </c>
      <c r="B1" s="12"/>
      <c r="C1" s="12"/>
      <c r="D1" s="12"/>
      <c r="E1" s="12"/>
      <c r="F1" s="12"/>
    </row>
    <row r="2" spans="1:6" ht="169.5" thickBot="1" x14ac:dyDescent="0.25">
      <c r="A2" s="7" t="s">
        <v>19</v>
      </c>
      <c r="B2" s="1" t="s">
        <v>16</v>
      </c>
      <c r="C2" s="1" t="s">
        <v>17</v>
      </c>
      <c r="D2" s="1" t="s">
        <v>20</v>
      </c>
      <c r="E2" s="1" t="s">
        <v>21</v>
      </c>
      <c r="F2" s="1" t="s">
        <v>22</v>
      </c>
    </row>
    <row r="3" spans="1:6" ht="19.5" thickBot="1" x14ac:dyDescent="0.25">
      <c r="A3" s="2">
        <v>1</v>
      </c>
      <c r="B3" s="11">
        <f>66672.4801063537/1000</f>
        <v>66.672480106353703</v>
      </c>
      <c r="C3" s="11">
        <f>1.06430053710937*2</f>
        <v>2.1286010742187398</v>
      </c>
      <c r="D3" s="8">
        <f>0.271797180175781*2</f>
        <v>0.54359436035156194</v>
      </c>
      <c r="E3" s="8">
        <f>0.0162124633789062*2</f>
        <v>3.2424926757812403E-2</v>
      </c>
      <c r="F3" s="11">
        <f>(0.271797180175781+0.0162124633789062)*2</f>
        <v>0.57601928710937433</v>
      </c>
    </row>
    <row r="4" spans="1:6" ht="19.5" thickBot="1" x14ac:dyDescent="0.25">
      <c r="A4" s="3">
        <v>0.7</v>
      </c>
      <c r="B4" s="11">
        <f>104542.313814163/1000</f>
        <v>104.54231381416301</v>
      </c>
      <c r="C4" s="11">
        <f>10.3404521942138*2</f>
        <v>20.680904388427599</v>
      </c>
      <c r="D4" s="8">
        <f>1.51419639587402*2</f>
        <v>3.0283927917480402</v>
      </c>
      <c r="E4" s="8">
        <f>1.30200386047363*2</f>
        <v>2.6040077209472599</v>
      </c>
      <c r="F4" s="11">
        <f>(1.51419639587402+1.30200386047363)*2</f>
        <v>5.6324005126953001</v>
      </c>
    </row>
    <row r="5" spans="1:6" ht="19.5" thickBot="1" x14ac:dyDescent="0.25">
      <c r="A5" s="2">
        <v>0.4</v>
      </c>
      <c r="B5" s="11">
        <f>181407.611846923/1000</f>
        <v>181.407611846923</v>
      </c>
      <c r="C5" s="11">
        <f>17.8208351135253*2</f>
        <v>35.641670227050597</v>
      </c>
      <c r="D5" s="8">
        <f>2.16889381408691*2</f>
        <v>4.3377876281738201</v>
      </c>
      <c r="E5" s="8">
        <f>2.19559669494628*2</f>
        <v>4.3911933898925604</v>
      </c>
      <c r="F5" s="11">
        <f>(2.16889381408691+2.19559669494628)*2</f>
        <v>8.7289810180663814</v>
      </c>
    </row>
    <row r="6" spans="1:6" ht="19.5" thickBot="1" x14ac:dyDescent="0.25">
      <c r="A6" s="3">
        <v>0.2</v>
      </c>
      <c r="B6" s="11">
        <f>361442.13104248/1000</f>
        <v>361.44213104248001</v>
      </c>
      <c r="C6" s="11">
        <f>35.994529724121*2</f>
        <v>71.989059448242003</v>
      </c>
      <c r="D6" s="8">
        <f>9.69624519348144*2</f>
        <v>19.39249038696288</v>
      </c>
      <c r="E6" s="8">
        <f>4.47344779968261*2</f>
        <v>8.9468955993652202</v>
      </c>
      <c r="F6" s="11">
        <f>(9.69624519348144+4.47344779968261)*2</f>
        <v>28.3393859863281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Aptx4869</dc:creator>
  <cp:lastModifiedBy>空白 无名</cp:lastModifiedBy>
  <dcterms:created xsi:type="dcterms:W3CDTF">2015-06-05T18:17:20Z</dcterms:created>
  <dcterms:modified xsi:type="dcterms:W3CDTF">2025-04-01T13:41:34Z</dcterms:modified>
</cp:coreProperties>
</file>